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GRAMAS PARA FLECHAR\"/>
    </mc:Choice>
  </mc:AlternateContent>
  <xr:revisionPtr revIDLastSave="0" documentId="8_{B12FD2ED-317D-F24A-8BF8-E0AAC86CAD68}" xr6:coauthVersionLast="47" xr6:coauthVersionMax="47" xr10:uidLastSave="{00000000-0000-0000-0000-000000000000}"/>
  <bookViews>
    <workbookView xWindow="0" yWindow="0" windowWidth="23040" windowHeight="90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4" i="1"/>
  <c r="C13" i="1"/>
  <c r="C15" i="1"/>
  <c r="C16" i="1"/>
  <c r="C22" i="1"/>
  <c r="C17" i="1"/>
  <c r="D15" i="1"/>
  <c r="E15" i="1"/>
  <c r="F15" i="1"/>
  <c r="D17" i="1"/>
  <c r="E17" i="1"/>
  <c r="D22" i="1"/>
  <c r="E22" i="1"/>
  <c r="F22" i="1"/>
  <c r="F17" i="1"/>
</calcChain>
</file>

<file path=xl/sharedStrings.xml><?xml version="1.0" encoding="utf-8"?>
<sst xmlns="http://schemas.openxmlformats.org/spreadsheetml/2006/main" count="41" uniqueCount="35">
  <si>
    <t>Flecha directa desde cualquier punto.</t>
  </si>
  <si>
    <t>Descripcion</t>
  </si>
  <si>
    <t>Datos</t>
  </si>
  <si>
    <t>Altura vertical al punto de amarre Est. A (m)</t>
  </si>
  <si>
    <t>Ha</t>
  </si>
  <si>
    <t>Altura vertical al punto de amarre Est. B (m)</t>
  </si>
  <si>
    <t>Hb</t>
  </si>
  <si>
    <t>Distancia horizontal al punto de amarre Est. A (m)</t>
  </si>
  <si>
    <t>Da</t>
  </si>
  <si>
    <t>Hp</t>
  </si>
  <si>
    <t>Distancia horizontal al punto de amarre Est. B (m)</t>
  </si>
  <si>
    <t>Db</t>
  </si>
  <si>
    <t>Ang. Horizontal de  la Estructura A a la Est. B (°)</t>
  </si>
  <si>
    <t>Alfa (α)</t>
  </si>
  <si>
    <t>Cálculo</t>
  </si>
  <si>
    <t>Altura promedio al medio vano (m)</t>
  </si>
  <si>
    <t>Distancia Horizontal (Vano) entre la Est. A y B (m)</t>
  </si>
  <si>
    <t>Dab/2</t>
  </si>
  <si>
    <t>Angulo entre Da y Dab (°)</t>
  </si>
  <si>
    <t>Dim</t>
  </si>
  <si>
    <t>Ang. Horz para encontrar el medio vano (Est. A es 0°) (°)</t>
  </si>
  <si>
    <t>Phi (Ø)</t>
  </si>
  <si>
    <t>Dato de tabla de regulado (m)</t>
  </si>
  <si>
    <t>Flecha (f)</t>
  </si>
  <si>
    <t>°</t>
  </si>
  <si>
    <t>'</t>
  </si>
  <si>
    <t>"</t>
  </si>
  <si>
    <t>(°)</t>
  </si>
  <si>
    <t>Ang. Flecha</t>
  </si>
  <si>
    <t>topografico (ϴ)</t>
  </si>
  <si>
    <t>Dab</t>
  </si>
  <si>
    <t>Angulo de flechado (ϴ)</t>
  </si>
  <si>
    <t>ALFA</t>
  </si>
  <si>
    <t>Distancia horizontal entre I y M (m)(del equipo al cable)</t>
  </si>
  <si>
    <r>
      <t>beta (</t>
    </r>
    <r>
      <rPr>
        <sz val="11"/>
        <color rgb="FF000000"/>
        <rFont val="Calibri"/>
        <family val="2"/>
      </rPr>
      <t>β)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</si>
</sst>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0070C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2" fillId="2" borderId="10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2" fontId="5" fillId="2" borderId="10" xfId="0" applyNumberFormat="1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/>
    <xf numFmtId="2" fontId="2" fillId="0" borderId="1" xfId="0" applyNumberFormat="1" applyFont="1" applyBorder="1" applyAlignment="1">
      <alignment horizontal="center"/>
    </xf>
    <xf numFmtId="0" fontId="2" fillId="4" borderId="2" xfId="0" applyFont="1" applyFill="1" applyBorder="1"/>
    <xf numFmtId="2" fontId="2" fillId="4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4" borderId="5" xfId="0" applyFont="1" applyFill="1" applyBorder="1"/>
    <xf numFmtId="2" fontId="2" fillId="4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4" borderId="0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9" fillId="0" borderId="0" xfId="0" applyFont="1" applyAlignment="1">
      <alignment horizontal="center"/>
    </xf>
    <xf numFmtId="0" fontId="5" fillId="6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14</xdr:row>
      <xdr:rowOff>38100</xdr:rowOff>
    </xdr:from>
    <xdr:to>
      <xdr:col>8</xdr:col>
      <xdr:colOff>533400</xdr:colOff>
      <xdr:row>14</xdr:row>
      <xdr:rowOff>38100</xdr:rowOff>
    </xdr:to>
    <xdr:cxnSp macro="">
      <xdr:nvCxnSpPr>
        <xdr:cNvPr id="37" name="36 Conector recto de flecha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4667250" y="2343150"/>
          <a:ext cx="352425" cy="19050"/>
        </a:xfrm>
        <a:prstGeom prst="straightConnector1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304800</xdr:colOff>
      <xdr:row>3</xdr:row>
      <xdr:rowOff>38100</xdr:rowOff>
    </xdr:from>
    <xdr:to>
      <xdr:col>7</xdr:col>
      <xdr:colOff>381000</xdr:colOff>
      <xdr:row>11</xdr:row>
      <xdr:rowOff>38100</xdr:rowOff>
    </xdr:to>
    <xdr:sp macro="" textlink="">
      <xdr:nvSpPr>
        <xdr:cNvPr id="2" name="1 Triángulo isóscel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038600" y="523875"/>
          <a:ext cx="85725" cy="1266825"/>
        </a:xfrm>
        <a:prstGeom prst="triangle">
          <a:avLst/>
        </a:prstGeom>
        <a:noFill/>
        <a:ln w="31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s-PE" sz="1100"/>
        </a:p>
      </xdr:txBody>
    </xdr:sp>
    <xdr:clientData fLocksWithSheet="0"/>
  </xdr:twoCellAnchor>
  <xdr:twoCellAnchor>
    <xdr:from>
      <xdr:col>9</xdr:col>
      <xdr:colOff>723900</xdr:colOff>
      <xdr:row>5</xdr:row>
      <xdr:rowOff>38100</xdr:rowOff>
    </xdr:from>
    <xdr:to>
      <xdr:col>10</xdr:col>
      <xdr:colOff>76200</xdr:colOff>
      <xdr:row>11</xdr:row>
      <xdr:rowOff>38100</xdr:rowOff>
    </xdr:to>
    <xdr:sp macro="" textlink="">
      <xdr:nvSpPr>
        <xdr:cNvPr id="3" name="2 Triángulo isóscel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81701" y="847725"/>
          <a:ext cx="104774" cy="942975"/>
        </a:xfrm>
        <a:prstGeom prst="triangle">
          <a:avLst/>
        </a:prstGeom>
        <a:noFill/>
        <a:ln w="31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s-PE" sz="1100"/>
        </a:p>
      </xdr:txBody>
    </xdr:sp>
    <xdr:clientData fLocksWithSheet="0"/>
  </xdr:twoCellAnchor>
  <xdr:twoCellAnchor>
    <xdr:from>
      <xdr:col>7</xdr:col>
      <xdr:colOff>266700</xdr:colOff>
      <xdr:row>3</xdr:row>
      <xdr:rowOff>38100</xdr:rowOff>
    </xdr:from>
    <xdr:to>
      <xdr:col>7</xdr:col>
      <xdr:colOff>381000</xdr:colOff>
      <xdr:row>4</xdr:row>
      <xdr:rowOff>38100</xdr:rowOff>
    </xdr:to>
    <xdr:sp macro="" textlink="">
      <xdr:nvSpPr>
        <xdr:cNvPr id="4" name="3 Elips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010025" y="533400"/>
          <a:ext cx="142875" cy="133350"/>
        </a:xfrm>
        <a:prstGeom prst="ellipse">
          <a:avLst/>
        </a:prstGeom>
        <a:noFill/>
        <a:ln w="127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s-PE" sz="1100"/>
        </a:p>
      </xdr:txBody>
    </xdr:sp>
    <xdr:clientData fLocksWithSheet="0"/>
  </xdr:twoCellAnchor>
  <xdr:twoCellAnchor>
    <xdr:from>
      <xdr:col>9</xdr:col>
      <xdr:colOff>723900</xdr:colOff>
      <xdr:row>5</xdr:row>
      <xdr:rowOff>38100</xdr:rowOff>
    </xdr:from>
    <xdr:to>
      <xdr:col>10</xdr:col>
      <xdr:colOff>114300</xdr:colOff>
      <xdr:row>6</xdr:row>
      <xdr:rowOff>38100</xdr:rowOff>
    </xdr:to>
    <xdr:sp macro="" textlink="">
      <xdr:nvSpPr>
        <xdr:cNvPr id="5" name="4 Elips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962650" y="857250"/>
          <a:ext cx="142875" cy="133350"/>
        </a:xfrm>
        <a:prstGeom prst="ellipse">
          <a:avLst/>
        </a:prstGeom>
        <a:noFill/>
        <a:ln w="1270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s-PE" sz="1100"/>
        </a:p>
      </xdr:txBody>
    </xdr:sp>
    <xdr:clientData fLocksWithSheet="0"/>
  </xdr:twoCellAnchor>
  <xdr:twoCellAnchor>
    <xdr:from>
      <xdr:col>8</xdr:col>
      <xdr:colOff>266700</xdr:colOff>
      <xdr:row>15</xdr:row>
      <xdr:rowOff>38100</xdr:rowOff>
    </xdr:from>
    <xdr:to>
      <xdr:col>8</xdr:col>
      <xdr:colOff>381000</xdr:colOff>
      <xdr:row>16</xdr:row>
      <xdr:rowOff>76200</xdr:rowOff>
    </xdr:to>
    <xdr:sp macro="" textlink="">
      <xdr:nvSpPr>
        <xdr:cNvPr id="6" name="5 Extra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43450" y="2466975"/>
          <a:ext cx="123825" cy="228600"/>
        </a:xfrm>
        <a:prstGeom prst="flowChartExtract">
          <a:avLst/>
        </a:prstGeom>
        <a:noFill/>
        <a:ln w="31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l"/>
          <a:endParaRPr lang="es-PE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LocksWithSheet="0"/>
  </xdr:twoCellAnchor>
  <xdr:twoCellAnchor>
    <xdr:from>
      <xdr:col>8</xdr:col>
      <xdr:colOff>228600</xdr:colOff>
      <xdr:row>15</xdr:row>
      <xdr:rowOff>38100</xdr:rowOff>
    </xdr:from>
    <xdr:to>
      <xdr:col>8</xdr:col>
      <xdr:colOff>419100</xdr:colOff>
      <xdr:row>15</xdr:row>
      <xdr:rowOff>38100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4714875" y="2476500"/>
          <a:ext cx="200025" cy="0"/>
        </a:xfrm>
        <a:prstGeom prst="line">
          <a:avLst/>
        </a:prstGeom>
        <a:ln w="28575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8</xdr:col>
      <xdr:colOff>304800</xdr:colOff>
      <xdr:row>5</xdr:row>
      <xdr:rowOff>38100</xdr:rowOff>
    </xdr:from>
    <xdr:to>
      <xdr:col>10</xdr:col>
      <xdr:colOff>38100</xdr:colOff>
      <xdr:row>15</xdr:row>
      <xdr:rowOff>38100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6" idx="0"/>
          <a:endCxn id="3" idx="0"/>
        </xdr:cNvCxnSpPr>
      </xdr:nvCxnSpPr>
      <xdr:spPr>
        <a:xfrm flipV="1">
          <a:off x="4805363" y="847725"/>
          <a:ext cx="1228725" cy="1619250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342900</xdr:colOff>
      <xdr:row>3</xdr:row>
      <xdr:rowOff>38100</xdr:rowOff>
    </xdr:from>
    <xdr:to>
      <xdr:col>8</xdr:col>
      <xdr:colOff>304800</xdr:colOff>
      <xdr:row>15</xdr:row>
      <xdr:rowOff>38100</xdr:rowOff>
    </xdr:to>
    <xdr:cxnSp macro="">
      <xdr:nvCxnSpPr>
        <xdr:cNvPr id="12" name="11 Conector rec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6" idx="0"/>
          <a:endCxn id="4" idx="0"/>
        </xdr:cNvCxnSpPr>
      </xdr:nvCxnSpPr>
      <xdr:spPr>
        <a:xfrm flipH="1" flipV="1">
          <a:off x="4081463" y="533400"/>
          <a:ext cx="723900" cy="1933575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8</xdr:col>
      <xdr:colOff>304800</xdr:colOff>
      <xdr:row>11</xdr:row>
      <xdr:rowOff>0</xdr:rowOff>
    </xdr:from>
    <xdr:to>
      <xdr:col>10</xdr:col>
      <xdr:colOff>38100</xdr:colOff>
      <xdr:row>15</xdr:row>
      <xdr:rowOff>0</xdr:rowOff>
    </xdr:to>
    <xdr:cxnSp macro="">
      <xdr:nvCxnSpPr>
        <xdr:cNvPr id="15" name="14 Conector rec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6" idx="0"/>
          <a:endCxn id="3" idx="3"/>
        </xdr:cNvCxnSpPr>
      </xdr:nvCxnSpPr>
      <xdr:spPr>
        <a:xfrm flipV="1">
          <a:off x="4805363" y="1790700"/>
          <a:ext cx="1228725" cy="676275"/>
        </a:xfrm>
        <a:prstGeom prst="line">
          <a:avLst/>
        </a:prstGeom>
        <a:ln w="9525" cap="flat" cmpd="sng" algn="ctr">
          <a:solidFill>
            <a:srgbClr val="FF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342900</xdr:colOff>
      <xdr:row>11</xdr:row>
      <xdr:rowOff>0</xdr:rowOff>
    </xdr:from>
    <xdr:to>
      <xdr:col>8</xdr:col>
      <xdr:colOff>304800</xdr:colOff>
      <xdr:row>15</xdr:row>
      <xdr:rowOff>0</xdr:rowOff>
    </xdr:to>
    <xdr:cxnSp macro="">
      <xdr:nvCxnSpPr>
        <xdr:cNvPr id="18" name="17 Conector rec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6" idx="0"/>
          <a:endCxn id="2" idx="3"/>
        </xdr:cNvCxnSpPr>
      </xdr:nvCxnSpPr>
      <xdr:spPr>
        <a:xfrm flipH="1" flipV="1">
          <a:off x="4081463" y="1790700"/>
          <a:ext cx="723900" cy="676275"/>
        </a:xfrm>
        <a:prstGeom prst="line">
          <a:avLst/>
        </a:prstGeom>
        <a:ln w="9525" cap="flat" cmpd="sng" algn="ctr">
          <a:solidFill>
            <a:srgbClr val="FF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342900</xdr:colOff>
      <xdr:row>3</xdr:row>
      <xdr:rowOff>38100</xdr:rowOff>
    </xdr:from>
    <xdr:to>
      <xdr:col>10</xdr:col>
      <xdr:colOff>38100</xdr:colOff>
      <xdr:row>5</xdr:row>
      <xdr:rowOff>38100</xdr:rowOff>
    </xdr:to>
    <xdr:cxnSp macro="">
      <xdr:nvCxnSpPr>
        <xdr:cNvPr id="21" name="20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stCxn id="2" idx="0"/>
          <a:endCxn id="5" idx="0"/>
        </xdr:cNvCxnSpPr>
      </xdr:nvCxnSpPr>
      <xdr:spPr>
        <a:xfrm>
          <a:off x="4081463" y="523875"/>
          <a:ext cx="1952625" cy="333375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342900</xdr:colOff>
      <xdr:row>11</xdr:row>
      <xdr:rowOff>0</xdr:rowOff>
    </xdr:from>
    <xdr:to>
      <xdr:col>10</xdr:col>
      <xdr:colOff>38100</xdr:colOff>
      <xdr:row>11</xdr:row>
      <xdr:rowOff>0</xdr:rowOff>
    </xdr:to>
    <xdr:cxnSp macro="">
      <xdr:nvCxnSpPr>
        <xdr:cNvPr id="24" name="23 Conector rec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stCxn id="2" idx="3"/>
          <a:endCxn id="3" idx="3"/>
        </xdr:cNvCxnSpPr>
      </xdr:nvCxnSpPr>
      <xdr:spPr>
        <a:xfrm>
          <a:off x="4081463" y="1790700"/>
          <a:ext cx="1952625" cy="0"/>
        </a:xfrm>
        <a:prstGeom prst="line">
          <a:avLst/>
        </a:prstGeom>
        <a:ln w="9525" cap="flat" cmpd="sng" algn="ctr">
          <a:solidFill>
            <a:srgbClr val="FF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8</xdr:col>
      <xdr:colOff>304800</xdr:colOff>
      <xdr:row>11</xdr:row>
      <xdr:rowOff>0</xdr:rowOff>
    </xdr:from>
    <xdr:to>
      <xdr:col>8</xdr:col>
      <xdr:colOff>533400</xdr:colOff>
      <xdr:row>15</xdr:row>
      <xdr:rowOff>0</xdr:rowOff>
    </xdr:to>
    <xdr:cxnSp macro="">
      <xdr:nvCxnSpPr>
        <xdr:cNvPr id="27" name="26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6" idx="0"/>
        </xdr:cNvCxnSpPr>
      </xdr:nvCxnSpPr>
      <xdr:spPr>
        <a:xfrm flipV="1">
          <a:off x="4805363" y="1790700"/>
          <a:ext cx="252412" cy="676275"/>
        </a:xfrm>
        <a:prstGeom prst="line">
          <a:avLst/>
        </a:prstGeom>
        <a:ln w="9525" cap="flat" cmpd="sng" algn="ctr">
          <a:solidFill>
            <a:srgbClr val="FF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8</xdr:col>
      <xdr:colOff>533400</xdr:colOff>
      <xdr:row>4</xdr:row>
      <xdr:rowOff>38100</xdr:rowOff>
    </xdr:from>
    <xdr:to>
      <xdr:col>8</xdr:col>
      <xdr:colOff>533400</xdr:colOff>
      <xdr:row>11</xdr:row>
      <xdr:rowOff>38100</xdr:rowOff>
    </xdr:to>
    <xdr:cxnSp macro="">
      <xdr:nvCxnSpPr>
        <xdr:cNvPr id="30" name="29 Conector rec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 flipV="1">
          <a:off x="7203620" y="700768"/>
          <a:ext cx="0" cy="1128033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8</xdr:col>
      <xdr:colOff>304800</xdr:colOff>
      <xdr:row>4</xdr:row>
      <xdr:rowOff>38100</xdr:rowOff>
    </xdr:from>
    <xdr:to>
      <xdr:col>8</xdr:col>
      <xdr:colOff>533400</xdr:colOff>
      <xdr:row>15</xdr:row>
      <xdr:rowOff>38100</xdr:rowOff>
    </xdr:to>
    <xdr:cxnSp macro="">
      <xdr:nvCxnSpPr>
        <xdr:cNvPr id="33" name="32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stCxn id="6" idx="0"/>
        </xdr:cNvCxnSpPr>
      </xdr:nvCxnSpPr>
      <xdr:spPr>
        <a:xfrm flipV="1">
          <a:off x="4805363" y="695325"/>
          <a:ext cx="261937" cy="1771650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8</xdr:col>
      <xdr:colOff>533400</xdr:colOff>
      <xdr:row>14</xdr:row>
      <xdr:rowOff>38100</xdr:rowOff>
    </xdr:from>
    <xdr:to>
      <xdr:col>8</xdr:col>
      <xdr:colOff>685800</xdr:colOff>
      <xdr:row>15</xdr:row>
      <xdr:rowOff>38100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195456" y="2366281"/>
          <a:ext cx="161925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l-GR" sz="1200"/>
            <a:t>α</a:t>
          </a:r>
          <a:endParaRPr lang="es-PE" sz="1200"/>
        </a:p>
      </xdr:txBody>
    </xdr:sp>
    <xdr:clientData fLocksWithSheet="0"/>
  </xdr:twoCellAnchor>
  <xdr:twoCellAnchor>
    <xdr:from>
      <xdr:col>8</xdr:col>
      <xdr:colOff>76200</xdr:colOff>
      <xdr:row>13</xdr:row>
      <xdr:rowOff>38100</xdr:rowOff>
    </xdr:from>
    <xdr:to>
      <xdr:col>8</xdr:col>
      <xdr:colOff>381000</xdr:colOff>
      <xdr:row>13</xdr:row>
      <xdr:rowOff>76200</xdr:rowOff>
    </xdr:to>
    <xdr:cxnSp macro="">
      <xdr:nvCxnSpPr>
        <xdr:cNvPr id="23" name="22 Conector recto de flech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6463392" y="2211161"/>
          <a:ext cx="340179" cy="47625"/>
        </a:xfrm>
        <a:prstGeom prst="straightConnector1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495300</xdr:colOff>
      <xdr:row>11</xdr:row>
      <xdr:rowOff>0</xdr:rowOff>
    </xdr:from>
    <xdr:to>
      <xdr:col>7</xdr:col>
      <xdr:colOff>571500</xdr:colOff>
      <xdr:row>11</xdr:row>
      <xdr:rowOff>114300</xdr:rowOff>
    </xdr:to>
    <xdr:cxnSp macro="">
      <xdr:nvCxnSpPr>
        <xdr:cNvPr id="25" name="24 Conector recto de flecha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6143625" y="1823357"/>
          <a:ext cx="95250" cy="142875"/>
        </a:xfrm>
        <a:prstGeom prst="straightConnector1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609600</xdr:colOff>
      <xdr:row>11</xdr:row>
      <xdr:rowOff>38100</xdr:rowOff>
    </xdr:from>
    <xdr:to>
      <xdr:col>8</xdr:col>
      <xdr:colOff>0</xdr:colOff>
      <xdr:row>12</xdr:row>
      <xdr:rowOff>38100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497411" y="1857375"/>
          <a:ext cx="161925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l-GR" sz="1100"/>
            <a:t>β</a:t>
          </a:r>
          <a:endParaRPr lang="es-PE" sz="1100"/>
        </a:p>
      </xdr:txBody>
    </xdr:sp>
    <xdr:clientData fLocksWithSheet="0"/>
  </xdr:twoCellAnchor>
  <xdr:twoCellAnchor>
    <xdr:from>
      <xdr:col>8</xdr:col>
      <xdr:colOff>38100</xdr:colOff>
      <xdr:row>12</xdr:row>
      <xdr:rowOff>76200</xdr:rowOff>
    </xdr:from>
    <xdr:to>
      <xdr:col>8</xdr:col>
      <xdr:colOff>190500</xdr:colOff>
      <xdr:row>13</xdr:row>
      <xdr:rowOff>76200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429375" y="2075089"/>
          <a:ext cx="161925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PE" sz="1100"/>
            <a:t>Ø</a:t>
          </a:r>
        </a:p>
      </xdr:txBody>
    </xdr:sp>
    <xdr:clientData fLocksWithSheet="0"/>
  </xdr:twoCellAnchor>
  <xdr:twoCellAnchor>
    <xdr:from>
      <xdr:col>8</xdr:col>
      <xdr:colOff>381000</xdr:colOff>
      <xdr:row>15</xdr:row>
      <xdr:rowOff>76200</xdr:rowOff>
    </xdr:from>
    <xdr:to>
      <xdr:col>9</xdr:col>
      <xdr:colOff>571500</xdr:colOff>
      <xdr:row>16</xdr:row>
      <xdr:rowOff>76200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7041696" y="2564947"/>
          <a:ext cx="986518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PE" sz="1200"/>
            <a:t>(I)</a:t>
          </a:r>
        </a:p>
      </xdr:txBody>
    </xdr:sp>
    <xdr:clientData fLocksWithSheet="0"/>
  </xdr:twoCellAnchor>
  <xdr:twoCellAnchor>
    <xdr:from>
      <xdr:col>8</xdr:col>
      <xdr:colOff>571500</xdr:colOff>
      <xdr:row>9</xdr:row>
      <xdr:rowOff>114300</xdr:rowOff>
    </xdr:from>
    <xdr:to>
      <xdr:col>9</xdr:col>
      <xdr:colOff>38100</xdr:colOff>
      <xdr:row>10</xdr:row>
      <xdr:rowOff>114300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7232196" y="1619251"/>
          <a:ext cx="238125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PE" sz="1200"/>
            <a:t>(M)</a:t>
          </a:r>
        </a:p>
      </xdr:txBody>
    </xdr:sp>
    <xdr:clientData fLocksWithSheet="0"/>
  </xdr:twoCellAnchor>
  <xdr:twoCellAnchor>
    <xdr:from>
      <xdr:col>7</xdr:col>
      <xdr:colOff>152400</xdr:colOff>
      <xdr:row>11</xdr:row>
      <xdr:rowOff>0</xdr:rowOff>
    </xdr:from>
    <xdr:to>
      <xdr:col>7</xdr:col>
      <xdr:colOff>381000</xdr:colOff>
      <xdr:row>12</xdr:row>
      <xdr:rowOff>0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6034768" y="1823357"/>
          <a:ext cx="238125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PE" sz="1200"/>
            <a:t>(A)</a:t>
          </a:r>
        </a:p>
      </xdr:txBody>
    </xdr:sp>
    <xdr:clientData fLocksWithSheet="0"/>
  </xdr:twoCellAnchor>
  <xdr:twoCellAnchor>
    <xdr:from>
      <xdr:col>10</xdr:col>
      <xdr:colOff>0</xdr:colOff>
      <xdr:row>11</xdr:row>
      <xdr:rowOff>0</xdr:rowOff>
    </xdr:from>
    <xdr:to>
      <xdr:col>10</xdr:col>
      <xdr:colOff>228600</xdr:colOff>
      <xdr:row>12</xdr:row>
      <xdr:rowOff>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8157482" y="1809750"/>
          <a:ext cx="238125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PE" sz="1200"/>
            <a:t>(B)</a:t>
          </a:r>
        </a:p>
      </xdr:txBody>
    </xdr:sp>
    <xdr:clientData fLocksWithSheet="0"/>
  </xdr:twoCellAnchor>
  <xdr:twoCellAnchor>
    <xdr:from>
      <xdr:col>8</xdr:col>
      <xdr:colOff>457200</xdr:colOff>
      <xdr:row>11</xdr:row>
      <xdr:rowOff>76200</xdr:rowOff>
    </xdr:from>
    <xdr:to>
      <xdr:col>8</xdr:col>
      <xdr:colOff>609600</xdr:colOff>
      <xdr:row>13</xdr:row>
      <xdr:rowOff>0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 rot="17448070">
          <a:off x="7089322" y="1945822"/>
          <a:ext cx="238125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PE" sz="1100"/>
            <a:t>Dab</a:t>
          </a:r>
        </a:p>
      </xdr:txBody>
    </xdr:sp>
    <xdr:clientData fLocksWithSheet="0"/>
  </xdr:twoCellAnchor>
  <xdr:twoCellAnchor>
    <xdr:from>
      <xdr:col>9</xdr:col>
      <xdr:colOff>0</xdr:colOff>
      <xdr:row>18</xdr:row>
      <xdr:rowOff>0</xdr:rowOff>
    </xdr:from>
    <xdr:to>
      <xdr:col>9</xdr:col>
      <xdr:colOff>0</xdr:colOff>
      <xdr:row>24</xdr:row>
      <xdr:rowOff>0</xdr:rowOff>
    </xdr:to>
    <xdr:cxnSp macro="">
      <xdr:nvCxnSpPr>
        <xdr:cNvPr id="38" name="37 Conector rect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7395482" y="2959555"/>
          <a:ext cx="0" cy="850445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495300</xdr:colOff>
      <xdr:row>24</xdr:row>
      <xdr:rowOff>0</xdr:rowOff>
    </xdr:from>
    <xdr:to>
      <xdr:col>9</xdr:col>
      <xdr:colOff>0</xdr:colOff>
      <xdr:row>24</xdr:row>
      <xdr:rowOff>0</xdr:rowOff>
    </xdr:to>
    <xdr:cxnSp macro="">
      <xdr:nvCxnSpPr>
        <xdr:cNvPr id="39" name="3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6388554" y="3810000"/>
          <a:ext cx="1013732" cy="0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495300</xdr:colOff>
      <xdr:row>20</xdr:row>
      <xdr:rowOff>0</xdr:rowOff>
    </xdr:from>
    <xdr:to>
      <xdr:col>8</xdr:col>
      <xdr:colOff>723900</xdr:colOff>
      <xdr:row>24</xdr:row>
      <xdr:rowOff>0</xdr:rowOff>
    </xdr:to>
    <xdr:cxnSp macro="">
      <xdr:nvCxnSpPr>
        <xdr:cNvPr id="41" name="40 Conector rec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V="1">
          <a:off x="6388554" y="3150054"/>
          <a:ext cx="1000125" cy="666752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533400</xdr:colOff>
      <xdr:row>17</xdr:row>
      <xdr:rowOff>152400</xdr:rowOff>
    </xdr:from>
    <xdr:to>
      <xdr:col>9</xdr:col>
      <xdr:colOff>0</xdr:colOff>
      <xdr:row>24</xdr:row>
      <xdr:rowOff>38100</xdr:rowOff>
    </xdr:to>
    <xdr:cxnSp macro="">
      <xdr:nvCxnSpPr>
        <xdr:cNvPr id="44" name="43 Conector rect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V="1">
          <a:off x="6415768" y="2952750"/>
          <a:ext cx="986518" cy="857250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8</xdr:col>
      <xdr:colOff>495300</xdr:colOff>
      <xdr:row>21</xdr:row>
      <xdr:rowOff>114300</xdr:rowOff>
    </xdr:from>
    <xdr:to>
      <xdr:col>9</xdr:col>
      <xdr:colOff>152400</xdr:colOff>
      <xdr:row>22</xdr:row>
      <xdr:rowOff>114300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7136951" y="3435804"/>
          <a:ext cx="401411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PE" sz="1100"/>
            <a:t>Hp-f</a:t>
          </a:r>
        </a:p>
      </xdr:txBody>
    </xdr:sp>
    <xdr:clientData fLocksWithSheet="0"/>
  </xdr:twoCellAnchor>
  <xdr:twoCellAnchor>
    <xdr:from>
      <xdr:col>8</xdr:col>
      <xdr:colOff>685800</xdr:colOff>
      <xdr:row>18</xdr:row>
      <xdr:rowOff>76200</xdr:rowOff>
    </xdr:from>
    <xdr:to>
      <xdr:col>9</xdr:col>
      <xdr:colOff>76200</xdr:colOff>
      <xdr:row>19</xdr:row>
      <xdr:rowOff>76200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7969462" y="3082017"/>
          <a:ext cx="129268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PE" sz="1100" i="1"/>
            <a:t>f</a:t>
          </a:r>
        </a:p>
      </xdr:txBody>
    </xdr:sp>
    <xdr:clientData fLocksWithSheet="0"/>
  </xdr:twoCellAnchor>
  <xdr:twoCellAnchor>
    <xdr:from>
      <xdr:col>9</xdr:col>
      <xdr:colOff>76200</xdr:colOff>
      <xdr:row>18</xdr:row>
      <xdr:rowOff>0</xdr:rowOff>
    </xdr:from>
    <xdr:to>
      <xdr:col>9</xdr:col>
      <xdr:colOff>76200</xdr:colOff>
      <xdr:row>24</xdr:row>
      <xdr:rowOff>0</xdr:rowOff>
    </xdr:to>
    <xdr:cxnSp macro="">
      <xdr:nvCxnSpPr>
        <xdr:cNvPr id="52" name="51 Conector recto de flecha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 flipV="1">
          <a:off x="7483927" y="2959554"/>
          <a:ext cx="0" cy="850446"/>
        </a:xfrm>
        <a:prstGeom prst="straightConnector1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457200</xdr:colOff>
      <xdr:row>24</xdr:row>
      <xdr:rowOff>0</xdr:rowOff>
    </xdr:from>
    <xdr:to>
      <xdr:col>7</xdr:col>
      <xdr:colOff>571500</xdr:colOff>
      <xdr:row>25</xdr:row>
      <xdr:rowOff>38100</xdr:rowOff>
    </xdr:to>
    <xdr:sp macro="" textlink="">
      <xdr:nvSpPr>
        <xdr:cNvPr id="55" name="54 Extrac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6355896" y="3810000"/>
          <a:ext cx="123825" cy="229961"/>
        </a:xfrm>
        <a:prstGeom prst="flowChartExtract">
          <a:avLst/>
        </a:prstGeom>
        <a:noFill/>
        <a:ln w="31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l"/>
          <a:endParaRPr lang="es-PE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LocksWithSheet="0"/>
  </xdr:twoCellAnchor>
  <xdr:twoCellAnchor>
    <xdr:from>
      <xdr:col>7</xdr:col>
      <xdr:colOff>419100</xdr:colOff>
      <xdr:row>24</xdr:row>
      <xdr:rowOff>0</xdr:rowOff>
    </xdr:from>
    <xdr:to>
      <xdr:col>7</xdr:col>
      <xdr:colOff>609600</xdr:colOff>
      <xdr:row>24</xdr:row>
      <xdr:rowOff>0</xdr:rowOff>
    </xdr:to>
    <xdr:cxnSp macro="">
      <xdr:nvCxnSpPr>
        <xdr:cNvPr id="56" name="55 Conector rec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6327321" y="3819525"/>
          <a:ext cx="200025" cy="0"/>
        </a:xfrm>
        <a:prstGeom prst="line">
          <a:avLst/>
        </a:prstGeom>
        <a:ln w="28575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533400</xdr:colOff>
      <xdr:row>20</xdr:row>
      <xdr:rowOff>38100</xdr:rowOff>
    </xdr:from>
    <xdr:to>
      <xdr:col>7</xdr:col>
      <xdr:colOff>533400</xdr:colOff>
      <xdr:row>25</xdr:row>
      <xdr:rowOff>76200</xdr:rowOff>
    </xdr:to>
    <xdr:cxnSp macro="">
      <xdr:nvCxnSpPr>
        <xdr:cNvPr id="57" name="56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V="1">
          <a:off x="6424613" y="3170464"/>
          <a:ext cx="0" cy="869497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533400</xdr:colOff>
      <xdr:row>22</xdr:row>
      <xdr:rowOff>76200</xdr:rowOff>
    </xdr:from>
    <xdr:to>
      <xdr:col>8</xdr:col>
      <xdr:colOff>0</xdr:colOff>
      <xdr:row>23</xdr:row>
      <xdr:rowOff>38100</xdr:rowOff>
    </xdr:to>
    <xdr:cxnSp macro="">
      <xdr:nvCxnSpPr>
        <xdr:cNvPr id="60" name="59 Conector recto de flecha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6415769" y="3544662"/>
          <a:ext cx="217714" cy="102051"/>
        </a:xfrm>
        <a:prstGeom prst="straightConnector1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  <a:headEnd type="triangl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twoCellAnchor>
  <xdr:twoCellAnchor>
    <xdr:from>
      <xdr:col>7</xdr:col>
      <xdr:colOff>609600</xdr:colOff>
      <xdr:row>21</xdr:row>
      <xdr:rowOff>114300</xdr:rowOff>
    </xdr:from>
    <xdr:to>
      <xdr:col>8</xdr:col>
      <xdr:colOff>0</xdr:colOff>
      <xdr:row>22</xdr:row>
      <xdr:rowOff>114300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6497414" y="3408592"/>
          <a:ext cx="156482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l-GR" sz="1100" i="1"/>
            <a:t>ϴ</a:t>
          </a:r>
          <a:endParaRPr lang="es-PE" sz="1100" i="1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7"/>
  <sheetViews>
    <sheetView tabSelected="1" topLeftCell="B2" workbookViewId="0">
      <selection activeCell="F28" sqref="F28"/>
    </sheetView>
  </sheetViews>
  <sheetFormatPr defaultColWidth="14.390625" defaultRowHeight="15" customHeight="1" x14ac:dyDescent="0.2"/>
  <cols>
    <col min="1" max="1" width="49.50390625" customWidth="1"/>
    <col min="2" max="2" width="15.33203125" customWidth="1"/>
    <col min="3" max="3" width="11.56640625" customWidth="1"/>
    <col min="4" max="4" width="5.24609375" customWidth="1"/>
    <col min="5" max="5" width="5.37890625" customWidth="1"/>
    <col min="6" max="6" width="6.58984375" customWidth="1"/>
    <col min="7" max="11" width="11.43359375" customWidth="1"/>
    <col min="12" max="13" width="10.76171875" customWidth="1"/>
  </cols>
  <sheetData>
    <row r="1" spans="1:13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</row>
    <row r="2" spans="1:13" ht="12.75" customHeight="1" x14ac:dyDescent="0.2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</row>
    <row r="3" spans="1:13" ht="12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</row>
    <row r="4" spans="1:13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</row>
    <row r="5" spans="1:13" ht="13.5" customHeight="1" x14ac:dyDescent="0.2">
      <c r="A5" s="4" t="s">
        <v>1</v>
      </c>
      <c r="B5" s="4" t="s">
        <v>2</v>
      </c>
      <c r="C5" s="2"/>
      <c r="D5" s="2"/>
      <c r="E5" s="2"/>
      <c r="F5" s="2"/>
      <c r="G5" s="2"/>
      <c r="H5" s="2"/>
      <c r="I5" s="2"/>
      <c r="J5" s="2"/>
      <c r="K5" s="2"/>
      <c r="L5" s="1"/>
      <c r="M5" s="1"/>
    </row>
    <row r="6" spans="1:13" ht="12.75" customHeight="1" x14ac:dyDescent="0.2">
      <c r="A6" s="2" t="s">
        <v>3</v>
      </c>
      <c r="B6" s="2" t="s">
        <v>4</v>
      </c>
      <c r="C6" s="5">
        <v>14.044</v>
      </c>
      <c r="D6" s="2"/>
      <c r="E6" s="2"/>
      <c r="F6" s="2"/>
      <c r="G6" s="2"/>
      <c r="H6" s="2"/>
      <c r="I6" s="2"/>
      <c r="J6" s="2"/>
      <c r="K6" s="2"/>
      <c r="L6" s="1"/>
      <c r="M6" s="1"/>
    </row>
    <row r="7" spans="1:13" ht="12.75" customHeight="1" x14ac:dyDescent="0.2">
      <c r="A7" s="2" t="s">
        <v>5</v>
      </c>
      <c r="B7" s="2" t="s">
        <v>6</v>
      </c>
      <c r="C7" s="5">
        <v>10.587999999999999</v>
      </c>
      <c r="D7" s="2"/>
      <c r="E7" s="2"/>
      <c r="F7" s="2"/>
      <c r="G7" s="2"/>
      <c r="H7" s="2"/>
      <c r="I7" s="2"/>
      <c r="J7" s="2"/>
      <c r="K7" s="2"/>
      <c r="L7" s="1"/>
      <c r="M7" s="1"/>
    </row>
    <row r="8" spans="1:13" ht="12.75" customHeight="1" x14ac:dyDescent="0.2">
      <c r="A8" s="2" t="s">
        <v>7</v>
      </c>
      <c r="B8" s="2" t="s">
        <v>8</v>
      </c>
      <c r="C8" s="5">
        <v>45.84</v>
      </c>
      <c r="D8" s="2"/>
      <c r="E8" s="2"/>
      <c r="F8" s="2"/>
      <c r="G8" s="2"/>
      <c r="H8" s="2"/>
      <c r="I8" s="6" t="s">
        <v>9</v>
      </c>
      <c r="J8" s="2"/>
      <c r="K8" s="2"/>
      <c r="L8" s="1"/>
      <c r="M8" s="1"/>
    </row>
    <row r="9" spans="1:13" ht="12.75" customHeight="1" x14ac:dyDescent="0.2">
      <c r="A9" s="2" t="s">
        <v>10</v>
      </c>
      <c r="B9" s="2" t="s">
        <v>11</v>
      </c>
      <c r="C9" s="5">
        <v>39.630000000000003</v>
      </c>
      <c r="D9" s="2"/>
      <c r="E9" s="2"/>
      <c r="F9" s="2"/>
      <c r="G9" s="2"/>
      <c r="H9" s="7" t="s">
        <v>4</v>
      </c>
      <c r="I9" s="2"/>
      <c r="J9" s="2"/>
      <c r="K9" s="7" t="s">
        <v>6</v>
      </c>
      <c r="L9" s="1"/>
      <c r="M9" s="1"/>
    </row>
    <row r="10" spans="1:13" ht="13.5" customHeight="1" x14ac:dyDescent="0.2">
      <c r="A10" s="2" t="s">
        <v>12</v>
      </c>
      <c r="B10" s="2" t="s">
        <v>13</v>
      </c>
      <c r="C10" s="8">
        <f>((((F10/60)+E10)/60)+D10)</f>
        <v>67.622500000000002</v>
      </c>
      <c r="D10" s="9">
        <v>67</v>
      </c>
      <c r="E10" s="9">
        <v>37</v>
      </c>
      <c r="F10" s="9">
        <v>21</v>
      </c>
      <c r="G10" s="2"/>
      <c r="H10" s="2"/>
      <c r="I10" s="2"/>
      <c r="J10" s="2"/>
      <c r="K10" s="2"/>
      <c r="L10" s="1"/>
      <c r="M10" s="1"/>
    </row>
    <row r="11" spans="1:13" ht="12.75" customHeight="1" x14ac:dyDescent="0.2">
      <c r="A11" s="2"/>
      <c r="B11" s="2"/>
      <c r="C11" s="10"/>
      <c r="D11" s="2"/>
      <c r="E11" s="2"/>
      <c r="F11" s="2"/>
      <c r="G11" s="2"/>
      <c r="H11" s="2"/>
      <c r="I11" s="2"/>
      <c r="J11" s="2"/>
      <c r="K11" s="2"/>
      <c r="L11" s="1"/>
      <c r="M11" s="1"/>
    </row>
    <row r="12" spans="1:13" ht="12.75" customHeight="1" x14ac:dyDescent="0.2">
      <c r="A12" s="2"/>
      <c r="B12" s="4" t="s">
        <v>14</v>
      </c>
      <c r="C12" s="10"/>
      <c r="D12" s="2"/>
      <c r="E12" s="2"/>
      <c r="F12" s="2"/>
      <c r="G12" s="2"/>
      <c r="H12" s="2"/>
      <c r="I12" s="2"/>
      <c r="J12" s="2"/>
      <c r="K12" s="2"/>
      <c r="L12" s="1"/>
      <c r="M12" s="1"/>
    </row>
    <row r="13" spans="1:13" ht="12.75" customHeight="1" x14ac:dyDescent="0.2">
      <c r="A13" s="2" t="s">
        <v>15</v>
      </c>
      <c r="B13" s="2" t="s">
        <v>9</v>
      </c>
      <c r="C13" s="10">
        <f>+(C6+C7)/2</f>
        <v>12.315999999999999</v>
      </c>
      <c r="D13" s="2"/>
      <c r="E13" s="2"/>
      <c r="F13" s="2"/>
      <c r="G13" s="2"/>
      <c r="H13" s="2"/>
      <c r="I13" s="2"/>
      <c r="J13" s="2"/>
      <c r="K13" s="2"/>
      <c r="L13" s="1"/>
      <c r="M13" s="1"/>
    </row>
    <row r="14" spans="1:13" ht="12.75" customHeight="1" x14ac:dyDescent="0.2">
      <c r="A14" s="2" t="s">
        <v>16</v>
      </c>
      <c r="B14" s="2" t="s">
        <v>17</v>
      </c>
      <c r="C14" s="10">
        <f>+SQRT(POWER(C8,2)+POWER(C9,2)-2*C8*C9*COS(RADIANS(C10)))/2</f>
        <v>23.919798117595096</v>
      </c>
      <c r="D14" s="2"/>
      <c r="E14" s="2"/>
      <c r="F14" s="2"/>
      <c r="G14" s="2"/>
      <c r="H14" s="6" t="s">
        <v>8</v>
      </c>
      <c r="I14" s="2"/>
      <c r="J14" s="7" t="s">
        <v>11</v>
      </c>
      <c r="K14" s="2"/>
      <c r="L14" s="1"/>
      <c r="M14" s="1"/>
    </row>
    <row r="15" spans="1:13" ht="12.75" customHeight="1" x14ac:dyDescent="0.2">
      <c r="A15" s="2" t="s">
        <v>18</v>
      </c>
      <c r="B15" s="2" t="s">
        <v>34</v>
      </c>
      <c r="C15" s="10">
        <f>+ASIN(C9/(C14*2)*SIN(RADIANS(C10)))*180/PI()</f>
        <v>49.997074996717508</v>
      </c>
      <c r="D15" s="11">
        <f>+INT(C15)</f>
        <v>49</v>
      </c>
      <c r="E15" s="11">
        <f>INT((C15-D15)*60)</f>
        <v>59</v>
      </c>
      <c r="F15" s="11">
        <f>INT(((C15-D15)*60-E15)*60)</f>
        <v>49</v>
      </c>
      <c r="G15" s="2"/>
      <c r="H15" s="2"/>
      <c r="I15" s="2"/>
      <c r="J15" s="2"/>
      <c r="K15" s="2"/>
      <c r="L15" s="1"/>
      <c r="M15" s="1"/>
    </row>
    <row r="16" spans="1:13" ht="12.75" customHeight="1" x14ac:dyDescent="0.2">
      <c r="A16" s="2" t="s">
        <v>33</v>
      </c>
      <c r="B16" s="2" t="s">
        <v>19</v>
      </c>
      <c r="C16" s="12">
        <f>+SQRT(POWER(C8,2)+POWER(C14,2)-2*C8*C14*COS(RADIANS(C15)))</f>
        <v>35.549465650182341</v>
      </c>
      <c r="D16" s="2"/>
      <c r="E16" s="2"/>
      <c r="F16" s="2"/>
      <c r="G16" s="2"/>
      <c r="H16" s="2"/>
      <c r="I16" s="2"/>
      <c r="J16" s="2"/>
      <c r="K16" s="2"/>
      <c r="L16" s="1"/>
      <c r="M16" s="1"/>
    </row>
    <row r="17" spans="1:13" ht="12.75" customHeight="1" x14ac:dyDescent="0.2">
      <c r="A17" s="2" t="s">
        <v>20</v>
      </c>
      <c r="B17" s="2" t="s">
        <v>21</v>
      </c>
      <c r="C17" s="10">
        <f>+ASIN(C14/C16*SIN(RADIANS(C15)))*180/PI()</f>
        <v>31.025415693001477</v>
      </c>
      <c r="D17" s="29">
        <f>+INT(C17)</f>
        <v>31</v>
      </c>
      <c r="E17" s="29">
        <f>INT((C17-D17)*60)</f>
        <v>1</v>
      </c>
      <c r="F17" s="29">
        <f>INT(((C17-D17)*60-E17)*60)</f>
        <v>31</v>
      </c>
      <c r="G17" s="13" t="s">
        <v>32</v>
      </c>
      <c r="H17" s="2"/>
      <c r="I17" s="2"/>
      <c r="J17" s="2"/>
      <c r="K17" s="2"/>
      <c r="L17" s="1"/>
      <c r="M17" s="1"/>
    </row>
    <row r="18" spans="1:13" ht="13.5" customHeight="1" x14ac:dyDescent="0.2">
      <c r="A18" s="2"/>
      <c r="B18" s="2"/>
      <c r="C18" s="10"/>
      <c r="D18" s="2"/>
      <c r="E18" s="2"/>
      <c r="F18" s="2"/>
      <c r="G18" s="2"/>
      <c r="H18" s="2"/>
      <c r="I18" s="2"/>
      <c r="J18" s="2"/>
      <c r="K18" s="2"/>
      <c r="L18" s="1"/>
      <c r="M18" s="1"/>
    </row>
    <row r="19" spans="1:13" ht="13.5" customHeight="1" x14ac:dyDescent="0.2">
      <c r="A19" s="2" t="s">
        <v>22</v>
      </c>
      <c r="B19" s="2" t="s">
        <v>23</v>
      </c>
      <c r="C19" s="14">
        <v>0.74</v>
      </c>
      <c r="D19" s="2"/>
      <c r="E19" s="2"/>
      <c r="F19" s="2"/>
      <c r="G19" s="2"/>
      <c r="H19" s="2"/>
      <c r="I19" s="2"/>
      <c r="J19" s="2"/>
      <c r="K19" s="2"/>
      <c r="L19" s="1"/>
      <c r="M19" s="1"/>
    </row>
    <row r="20" spans="1:13" ht="12.75" customHeight="1" x14ac:dyDescent="0.2">
      <c r="A20" s="2"/>
      <c r="B20" s="2"/>
      <c r="C20" s="10"/>
      <c r="D20" s="2"/>
      <c r="E20" s="2"/>
      <c r="F20" s="2"/>
      <c r="G20" s="2"/>
      <c r="H20" s="2"/>
      <c r="I20" s="2"/>
      <c r="J20" s="2"/>
      <c r="K20" s="2"/>
      <c r="L20" s="1"/>
      <c r="M20" s="1"/>
    </row>
    <row r="21" spans="1:13" ht="12.75" customHeight="1" x14ac:dyDescent="0.2">
      <c r="A21" s="2"/>
      <c r="B21" s="15"/>
      <c r="C21" s="16"/>
      <c r="D21" s="17" t="s">
        <v>24</v>
      </c>
      <c r="E21" s="17" t="s">
        <v>25</v>
      </c>
      <c r="F21" s="18" t="s">
        <v>26</v>
      </c>
      <c r="G21" s="2"/>
      <c r="H21" s="2"/>
      <c r="I21" s="2"/>
      <c r="J21" s="2"/>
      <c r="K21" s="2"/>
      <c r="L21" s="1"/>
      <c r="M21" s="1"/>
    </row>
    <row r="22" spans="1:13" ht="12.75" customHeight="1" x14ac:dyDescent="0.2">
      <c r="A22" s="6" t="s">
        <v>27</v>
      </c>
      <c r="B22" s="19" t="s">
        <v>28</v>
      </c>
      <c r="C22" s="20">
        <f>90-ATAN((C13-C19)/C16)*180/PI()</f>
        <v>71.963156462906397</v>
      </c>
      <c r="D22" s="21">
        <f>+INT(C22)</f>
        <v>71</v>
      </c>
      <c r="E22" s="21">
        <f>INT((C22-D22)*60)</f>
        <v>57</v>
      </c>
      <c r="F22" s="22">
        <f>INT(((C22-D22)*60-E22)*60)</f>
        <v>47</v>
      </c>
      <c r="G22" s="2"/>
      <c r="H22" s="2"/>
      <c r="I22" s="2"/>
      <c r="J22" s="7" t="s">
        <v>9</v>
      </c>
      <c r="K22" s="2"/>
      <c r="L22" s="1"/>
      <c r="M22" s="1"/>
    </row>
    <row r="23" spans="1:13" ht="12.75" customHeight="1" x14ac:dyDescent="0.2">
      <c r="A23" s="2"/>
      <c r="B23" s="19" t="s">
        <v>29</v>
      </c>
      <c r="C23" s="23"/>
      <c r="D23" s="23"/>
      <c r="E23" s="23"/>
      <c r="F23" s="24"/>
      <c r="G23" s="2"/>
      <c r="H23" s="2"/>
      <c r="I23" s="2"/>
      <c r="J23" s="2"/>
      <c r="K23" s="2"/>
      <c r="L23" s="1"/>
      <c r="M23" s="1"/>
    </row>
    <row r="24" spans="1:13" ht="12.75" customHeight="1" x14ac:dyDescent="0.2">
      <c r="A24" s="2"/>
      <c r="B24" s="25"/>
      <c r="C24" s="26"/>
      <c r="D24" s="26"/>
      <c r="E24" s="26"/>
      <c r="F24" s="27"/>
      <c r="G24" s="2"/>
      <c r="H24" s="2"/>
      <c r="I24" s="2"/>
      <c r="J24" s="2"/>
      <c r="K24" s="2"/>
      <c r="L24" s="1"/>
      <c r="M24" s="1"/>
    </row>
    <row r="25" spans="1:13" ht="15.75" customHeight="1" x14ac:dyDescent="0.2">
      <c r="A25" s="2"/>
      <c r="B25" s="2"/>
      <c r="C25" s="2"/>
      <c r="D25" s="2"/>
      <c r="E25" s="2"/>
      <c r="F25" s="2"/>
      <c r="G25" s="2"/>
      <c r="H25" s="2"/>
      <c r="I25" s="11" t="s">
        <v>30</v>
      </c>
      <c r="J25" s="2"/>
      <c r="K25" s="2"/>
      <c r="L25" s="1"/>
      <c r="M25" s="1"/>
    </row>
    <row r="26" spans="1:13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  <c r="M26" s="1"/>
    </row>
    <row r="27" spans="1:13" ht="12.75" customHeight="1" x14ac:dyDescent="0.2">
      <c r="A27" s="2"/>
      <c r="B27" s="2"/>
      <c r="C27" s="2"/>
      <c r="D27" s="2"/>
      <c r="E27" s="2"/>
      <c r="F27" s="2"/>
      <c r="G27" s="2"/>
      <c r="H27" s="2"/>
      <c r="I27" s="28" t="s">
        <v>31</v>
      </c>
      <c r="J27" s="2"/>
      <c r="K27" s="2"/>
      <c r="L27" s="1"/>
      <c r="M27" s="1"/>
    </row>
    <row r="28" spans="1:13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4.390625" defaultRowHeight="15" customHeight="1" x14ac:dyDescent="0.2"/>
  <cols>
    <col min="1" max="6" width="10.76171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4.390625" defaultRowHeight="15" customHeight="1" x14ac:dyDescent="0.2"/>
  <cols>
    <col min="1" max="6" width="10.761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ASUS</cp:lastModifiedBy>
  <dcterms:created xsi:type="dcterms:W3CDTF">2014-05-30T09:41:33Z</dcterms:created>
  <dcterms:modified xsi:type="dcterms:W3CDTF">2020-07-03T21:41:07Z</dcterms:modified>
</cp:coreProperties>
</file>